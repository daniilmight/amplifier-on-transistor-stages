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7E1FE6C7-DF86-4853-A0F0-BECDFA6407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17" i="1"/>
  <c r="D18" i="1"/>
  <c r="D19" i="1"/>
  <c r="D17" i="1"/>
  <c r="G18" i="1"/>
  <c r="G19" i="1"/>
  <c r="G17" i="1"/>
  <c r="G13" i="1"/>
  <c r="H13" i="1" s="1"/>
  <c r="G14" i="1"/>
  <c r="H14" i="1" s="1"/>
  <c r="G12" i="1"/>
  <c r="H12" i="1" s="1"/>
  <c r="D13" i="1"/>
  <c r="D14" i="1"/>
  <c r="D12" i="1"/>
  <c r="G9" i="1"/>
  <c r="H9" i="1" s="1"/>
  <c r="G8" i="1"/>
  <c r="H8" i="1" s="1"/>
  <c r="D8" i="1"/>
  <c r="D9" i="1"/>
  <c r="G7" i="1"/>
  <c r="D7" i="1"/>
  <c r="H7" i="1" s="1"/>
  <c r="H4" i="1"/>
  <c r="G3" i="1"/>
  <c r="G4" i="1"/>
  <c r="G2" i="1"/>
  <c r="H2" i="1" s="1"/>
  <c r="D3" i="1"/>
  <c r="H3" i="1" s="1"/>
  <c r="D4" i="1"/>
  <c r="D2" i="1"/>
</calcChain>
</file>

<file path=xl/sharedStrings.xml><?xml version="1.0" encoding="utf-8"?>
<sst xmlns="http://schemas.openxmlformats.org/spreadsheetml/2006/main" count="32" uniqueCount="17">
  <si>
    <t>h11, Ом</t>
  </si>
  <si>
    <t>Uбэ1, мВ</t>
  </si>
  <si>
    <t>Uбэ2, мВ</t>
  </si>
  <si>
    <t>Iб1, мкА</t>
  </si>
  <si>
    <t>Iб2, мкА</t>
  </si>
  <si>
    <t>ΔIб, мкА</t>
  </si>
  <si>
    <t>Температура, °C</t>
  </si>
  <si>
    <t>ΔUбэ, мВ</t>
  </si>
  <si>
    <t>h12</t>
  </si>
  <si>
    <t>Uкэ1, В</t>
  </si>
  <si>
    <t>Uкэ2, В</t>
  </si>
  <si>
    <t>ΔUкэ, В</t>
  </si>
  <si>
    <t>Iк1, мА</t>
  </si>
  <si>
    <t>Iк2, мА</t>
  </si>
  <si>
    <t>ΔIк, мА</t>
  </si>
  <si>
    <t>h22, См</t>
  </si>
  <si>
    <t>h21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</si>
</sst>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"/>
  </numFmts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K10" sqref="K10"/>
    </sheetView>
  </sheetViews>
  <sheetFormatPr defaultRowHeight="14.4" x14ac:dyDescent="0.3"/>
  <cols>
    <col min="1" max="1" width="20.6640625" bestFit="1" customWidth="1"/>
    <col min="2" max="3" width="11.6640625" bestFit="1" customWidth="1"/>
    <col min="4" max="4" width="12.109375" bestFit="1" customWidth="1"/>
    <col min="5" max="6" width="11.88671875" bestFit="1" customWidth="1"/>
    <col min="7" max="7" width="14.109375" bestFit="1" customWidth="1"/>
    <col min="8" max="8" width="15" bestFit="1" customWidth="1"/>
  </cols>
  <sheetData>
    <row r="1" spans="1:8" ht="18" x14ac:dyDescent="0.3">
      <c r="A1" s="1" t="s">
        <v>6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0</v>
      </c>
    </row>
    <row r="2" spans="1:8" ht="18" x14ac:dyDescent="0.3">
      <c r="A2" s="1">
        <v>23</v>
      </c>
      <c r="B2" s="6">
        <v>20.05</v>
      </c>
      <c r="C2" s="1">
        <v>40.009</v>
      </c>
      <c r="D2" s="1">
        <f>C2-B2</f>
        <v>19.959</v>
      </c>
      <c r="E2" s="1">
        <v>707.04100000000005</v>
      </c>
      <c r="F2" s="1">
        <v>725.73800000000006</v>
      </c>
      <c r="G2" s="1">
        <f>F2-E2</f>
        <v>18.697000000000003</v>
      </c>
      <c r="H2" s="6">
        <f>G2*1000/D2</f>
        <v>936.77037927751917</v>
      </c>
    </row>
    <row r="3" spans="1:8" ht="18" x14ac:dyDescent="0.3">
      <c r="A3" s="1">
        <v>25</v>
      </c>
      <c r="B3" s="1">
        <v>20.001000000000001</v>
      </c>
      <c r="C3" s="6">
        <v>40.03</v>
      </c>
      <c r="D3" s="1">
        <f t="shared" ref="D3:D4" si="0">C3-B3</f>
        <v>20.029</v>
      </c>
      <c r="E3" s="6">
        <v>704.01</v>
      </c>
      <c r="F3" s="1">
        <v>722.91300000000001</v>
      </c>
      <c r="G3" s="1">
        <f t="shared" ref="G3:G4" si="1">F3-E3</f>
        <v>18.90300000000002</v>
      </c>
      <c r="H3" s="6">
        <f t="shared" ref="H3:H4" si="2">G3*1000/D3</f>
        <v>943.78151680064013</v>
      </c>
    </row>
    <row r="4" spans="1:8" ht="18" x14ac:dyDescent="0.3">
      <c r="A4" s="1">
        <v>27</v>
      </c>
      <c r="B4" s="1">
        <v>19.995999999999999</v>
      </c>
      <c r="C4" s="1">
        <v>40.054000000000002</v>
      </c>
      <c r="D4" s="1">
        <f t="shared" si="0"/>
        <v>20.058000000000003</v>
      </c>
      <c r="E4" s="1">
        <v>701.03800000000001</v>
      </c>
      <c r="F4" s="1">
        <v>720.08699999999999</v>
      </c>
      <c r="G4" s="1">
        <f t="shared" si="1"/>
        <v>19.048999999999978</v>
      </c>
      <c r="H4" s="6">
        <f t="shared" si="2"/>
        <v>949.69588194236587</v>
      </c>
    </row>
    <row r="6" spans="1:8" ht="18" x14ac:dyDescent="0.3">
      <c r="A6" s="1" t="s">
        <v>6</v>
      </c>
      <c r="B6" s="1" t="s">
        <v>9</v>
      </c>
      <c r="C6" s="1" t="s">
        <v>10</v>
      </c>
      <c r="D6" s="1" t="s">
        <v>11</v>
      </c>
      <c r="E6" s="1" t="s">
        <v>1</v>
      </c>
      <c r="F6" s="1" t="s">
        <v>2</v>
      </c>
      <c r="G6" s="1" t="s">
        <v>7</v>
      </c>
      <c r="H6" s="2" t="s">
        <v>8</v>
      </c>
    </row>
    <row r="7" spans="1:8" ht="18" x14ac:dyDescent="0.3">
      <c r="A7" s="1">
        <v>23</v>
      </c>
      <c r="B7" s="1">
        <v>0.2</v>
      </c>
      <c r="C7" s="1">
        <v>18</v>
      </c>
      <c r="D7" s="1">
        <f>C7-B7</f>
        <v>17.8</v>
      </c>
      <c r="E7" s="1">
        <v>704.54899999999998</v>
      </c>
      <c r="F7" s="1">
        <v>706.94799999999998</v>
      </c>
      <c r="G7" s="1">
        <f>F7-E7</f>
        <v>2.3990000000000009</v>
      </c>
      <c r="H7" s="3">
        <f>G7/(D7*1000)</f>
        <v>1.3477528089887646E-4</v>
      </c>
    </row>
    <row r="8" spans="1:8" ht="18" x14ac:dyDescent="0.3">
      <c r="A8" s="1">
        <v>25</v>
      </c>
      <c r="B8" s="1">
        <v>0.2</v>
      </c>
      <c r="C8" s="1">
        <v>18</v>
      </c>
      <c r="D8" s="1">
        <f t="shared" ref="D8:D9" si="3">C8-B8</f>
        <v>17.8</v>
      </c>
      <c r="E8" s="2">
        <v>701.49099999999999</v>
      </c>
      <c r="F8" s="2">
        <v>704.04399999999998</v>
      </c>
      <c r="G8" s="1">
        <f>F8-E8</f>
        <v>2.5529999999999973</v>
      </c>
      <c r="H8" s="3">
        <f t="shared" ref="H8:H9" si="4">G8/(D8*1000)</f>
        <v>1.4342696629213468E-4</v>
      </c>
    </row>
    <row r="9" spans="1:8" ht="18" x14ac:dyDescent="0.3">
      <c r="A9" s="1">
        <v>27</v>
      </c>
      <c r="B9" s="1">
        <v>0.2</v>
      </c>
      <c r="C9" s="1">
        <v>18</v>
      </c>
      <c r="D9" s="1">
        <f t="shared" si="3"/>
        <v>17.8</v>
      </c>
      <c r="E9" s="2">
        <v>698.32399999999996</v>
      </c>
      <c r="F9" s="2">
        <v>701.06100000000004</v>
      </c>
      <c r="G9" s="1">
        <f>F9-E9</f>
        <v>2.73700000000008</v>
      </c>
      <c r="H9" s="3">
        <f t="shared" si="4"/>
        <v>1.5376404494382473E-4</v>
      </c>
    </row>
    <row r="11" spans="1:8" ht="18" x14ac:dyDescent="0.3">
      <c r="A11" s="1" t="s">
        <v>6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2" t="s">
        <v>15</v>
      </c>
    </row>
    <row r="12" spans="1:8" ht="18" x14ac:dyDescent="0.3">
      <c r="A12" s="1">
        <v>23</v>
      </c>
      <c r="B12" s="2">
        <v>4</v>
      </c>
      <c r="C12" s="2">
        <v>14</v>
      </c>
      <c r="D12" s="1">
        <f>C12-B12</f>
        <v>10</v>
      </c>
      <c r="E12" s="2">
        <v>3.9681999999999999</v>
      </c>
      <c r="F12" s="2">
        <v>4.2622999999999998</v>
      </c>
      <c r="G12" s="1">
        <f>F12-E12</f>
        <v>0.29409999999999981</v>
      </c>
      <c r="H12" s="4">
        <f>G12/(D12*1000)</f>
        <v>2.9409999999999981E-5</v>
      </c>
    </row>
    <row r="13" spans="1:8" ht="18" x14ac:dyDescent="0.3">
      <c r="A13" s="1">
        <v>25</v>
      </c>
      <c r="B13" s="2">
        <v>4</v>
      </c>
      <c r="C13" s="2">
        <v>14</v>
      </c>
      <c r="D13" s="1">
        <f t="shared" ref="D13:D14" si="5">C13-B13</f>
        <v>10</v>
      </c>
      <c r="E13" s="2">
        <v>4.0091000000000001</v>
      </c>
      <c r="F13" s="2">
        <v>4.3131000000000004</v>
      </c>
      <c r="G13" s="1">
        <f t="shared" ref="G13:G14" si="6">F13-E13</f>
        <v>0.30400000000000027</v>
      </c>
      <c r="H13" s="1">
        <f t="shared" ref="H13:H14" si="7">G13/(D13*1000)</f>
        <v>3.0400000000000027E-5</v>
      </c>
    </row>
    <row r="14" spans="1:8" ht="18" x14ac:dyDescent="0.3">
      <c r="A14" s="1">
        <v>27</v>
      </c>
      <c r="B14" s="2">
        <v>4</v>
      </c>
      <c r="C14" s="2">
        <v>14</v>
      </c>
      <c r="D14" s="1">
        <f t="shared" si="5"/>
        <v>10</v>
      </c>
      <c r="E14" s="2">
        <v>4.0502000000000002</v>
      </c>
      <c r="F14" s="5">
        <v>4.3571</v>
      </c>
      <c r="G14" s="1">
        <f t="shared" si="6"/>
        <v>0.30689999999999973</v>
      </c>
      <c r="H14" s="4">
        <f t="shared" si="7"/>
        <v>3.0689999999999972E-5</v>
      </c>
    </row>
    <row r="16" spans="1:8" ht="18" x14ac:dyDescent="0.3">
      <c r="A16" s="1" t="s">
        <v>6</v>
      </c>
      <c r="B16" s="1" t="s">
        <v>3</v>
      </c>
      <c r="C16" s="1" t="s">
        <v>4</v>
      </c>
      <c r="D16" s="1" t="s">
        <v>5</v>
      </c>
      <c r="E16" s="1" t="s">
        <v>12</v>
      </c>
      <c r="F16" s="1" t="s">
        <v>13</v>
      </c>
      <c r="G16" s="1" t="s">
        <v>14</v>
      </c>
      <c r="H16" s="1" t="s">
        <v>16</v>
      </c>
    </row>
    <row r="17" spans="1:8" ht="18" x14ac:dyDescent="0.3">
      <c r="A17" s="1">
        <v>23</v>
      </c>
      <c r="B17" s="1">
        <v>40</v>
      </c>
      <c r="C17" s="1">
        <v>20</v>
      </c>
      <c r="D17" s="1">
        <f>B17-C17</f>
        <v>20</v>
      </c>
      <c r="E17" s="1">
        <v>7.8757999999999999</v>
      </c>
      <c r="F17" s="1">
        <v>3.9683000000000002</v>
      </c>
      <c r="G17" s="1">
        <f>E17-F17</f>
        <v>3.9074999999999998</v>
      </c>
      <c r="H17" s="1">
        <f>G17/(D17/1000)</f>
        <v>195.37499999999997</v>
      </c>
    </row>
    <row r="18" spans="1:8" ht="18" x14ac:dyDescent="0.3">
      <c r="A18" s="1">
        <v>25</v>
      </c>
      <c r="B18" s="1">
        <v>40</v>
      </c>
      <c r="C18" s="1">
        <v>20</v>
      </c>
      <c r="D18" s="1">
        <f t="shared" ref="D18:D19" si="8">B18-C18</f>
        <v>20</v>
      </c>
      <c r="E18" s="1">
        <v>7.9524999999999997</v>
      </c>
      <c r="F18" s="1">
        <v>4.0091999999999999</v>
      </c>
      <c r="G18" s="1">
        <f t="shared" ref="G18:G19" si="9">E18-F18</f>
        <v>3.9432999999999998</v>
      </c>
      <c r="H18" s="1">
        <f t="shared" ref="H18:H19" si="10">G18/(D18/1000)</f>
        <v>197.16499999999999</v>
      </c>
    </row>
    <row r="19" spans="1:8" ht="18" x14ac:dyDescent="0.3">
      <c r="A19" s="1">
        <v>27</v>
      </c>
      <c r="B19" s="1">
        <v>40</v>
      </c>
      <c r="C19" s="1">
        <v>20</v>
      </c>
      <c r="D19" s="1">
        <f t="shared" si="8"/>
        <v>20</v>
      </c>
      <c r="E19" s="1">
        <v>8.0295000000000005</v>
      </c>
      <c r="F19" s="1">
        <v>4.0502000000000002</v>
      </c>
      <c r="G19" s="1">
        <f t="shared" si="9"/>
        <v>3.9793000000000003</v>
      </c>
      <c r="H19" s="1">
        <f t="shared" si="10"/>
        <v>198.965</v>
      </c>
    </row>
  </sheetData>
  <phoneticPr fontId="2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2024-11-18T07:08:50Z</dcterms:modified>
</cp:coreProperties>
</file>